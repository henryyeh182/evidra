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viewer Findings" sheetId="2" state="visible" r:id="rId2"/>
    <sheet xmlns:r="http://schemas.openxmlformats.org/officeDocument/2006/relationships" name="Summary" sheetId="3" state="visible" r:id="rId3"/>
  </sheets>
  <definedNames>
    <definedName name="_xlnm._FilterDatabase" localSheetId="1" hidden="1">'Reviewer Findings'!$A$1:$P$21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5755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0"/>
      </patternFill>
    </fill>
    <fill>
      <patternFill patternType="solid">
        <fgColor rgb="00FAF9F5"/>
      </patternFill>
    </fill>
  </fills>
  <borders count="2">
    <border>
      <left/>
      <right/>
      <top/>
      <bottom/>
      <diagonal/>
    </border>
    <border>
      <bottom style="thin">
        <color rgb="00DAD2C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18" customWidth="1" min="4" max="4"/>
  </cols>
  <sheetData>
    <row r="1">
      <c r="A1" s="1" t="inlineStr">
        <is>
          <t>Pacevera Phase 0.5 Review Workbook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Purpose</t>
        </is>
      </c>
      <c r="B3" s="2" t="n"/>
      <c r="C3" s="2" t="n"/>
      <c r="D3" s="2" t="n"/>
    </row>
    <row r="4">
      <c r="A4" s="2" t="inlineStr">
        <is>
          <t>Test whether a reviewer can understand the scheduled session, the Decision Graph, and the prototype-only Outcome controls.</t>
        </is>
      </c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3" t="inlineStr">
        <is>
          <t>How to use</t>
        </is>
      </c>
      <c r="B6" s="2" t="n"/>
      <c r="C6" s="2" t="n"/>
      <c r="D6" s="2" t="n"/>
    </row>
    <row r="7">
      <c r="A7" s="2" t="inlineStr">
        <is>
          <t>1. Open docs/pacevera-home.html without explaining the interface.</t>
        </is>
      </c>
      <c r="B7" s="2" t="n"/>
      <c r="C7" s="2" t="n"/>
      <c r="D7" s="2" t="n"/>
    </row>
    <row r="8">
      <c r="A8" s="2" t="inlineStr">
        <is>
          <t>2. Ask the reviewer the three tasks listed below.</t>
        </is>
      </c>
      <c r="B8" s="2" t="n"/>
      <c r="C8" s="2" t="n"/>
      <c r="D8" s="2" t="n"/>
    </row>
    <row r="9">
      <c r="A9" s="2" t="inlineStr">
        <is>
          <t>3. Enter one row per reviewer on the Reviewer Findings sheet.</t>
        </is>
      </c>
      <c r="B9" s="2" t="n"/>
      <c r="C9" s="2" t="n"/>
      <c r="D9" s="2" t="n"/>
    </row>
    <row r="10">
      <c r="A10" s="2" t="inlineStr">
        <is>
          <t>4. Do not record names, email addresses, provider tokens, or real health data.</t>
        </is>
      </c>
      <c r="B10" s="2" t="n"/>
      <c r="C10" s="2" t="n"/>
      <c r="D10" s="2" t="n"/>
    </row>
    <row r="11">
      <c r="A11" s="2" t="inlineStr">
        <is>
          <t>5. Use the Summary sheet to review the 4-of-5 success bar.</t>
        </is>
      </c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3" t="inlineStr">
        <is>
          <t>Reviewer tasks</t>
        </is>
      </c>
      <c r="B14" s="2" t="n"/>
      <c r="C14" s="2" t="n"/>
      <c r="D14" s="2" t="n"/>
    </row>
    <row r="15">
      <c r="A15" s="2" t="inlineStr">
        <is>
          <t>A</t>
        </is>
      </c>
      <c r="B15" s="2" t="inlineStr">
        <is>
          <t>Decision comprehension</t>
        </is>
      </c>
      <c r="C15" s="2" t="inlineStr">
        <is>
          <t>What was scheduled? What should happen today?</t>
        </is>
      </c>
      <c r="D15" s="2" t="n"/>
    </row>
    <row r="16">
      <c r="A16" s="2" t="inlineStr">
        <is>
          <t>B</t>
        </is>
      </c>
      <c r="B16" s="2" t="inlineStr">
        <is>
          <t>Decision Trace comprehension</t>
        </is>
      </c>
      <c r="C16" s="2" t="inlineStr">
        <is>
          <t>Why did it change? Which rule governed and which was suppressed?</t>
        </is>
      </c>
      <c r="D16" s="2" t="n"/>
    </row>
    <row r="17">
      <c r="A17" s="2" t="inlineStr">
        <is>
          <t>C</t>
        </is>
      </c>
      <c r="B17" s="2" t="inlineStr">
        <is>
          <t>Outcome comprehension</t>
        </is>
      </c>
      <c r="C17" s="2" t="inlineStr">
        <is>
          <t>How would you report Adopted, Changed, Skipped, and perceived effort?</t>
        </is>
      </c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3" t="inlineStr">
        <is>
          <t>Success bar</t>
        </is>
      </c>
      <c r="B20" s="2" t="n"/>
      <c r="C20" s="2" t="n"/>
      <c r="D20" s="2" t="n"/>
    </row>
    <row r="21">
      <c r="A21" s="2" t="inlineStr">
        <is>
          <t>At least 4 of 5 reviewers should complete the core tasks without coaching. Any privacy misunderstanding is release-blocking.</t>
        </is>
      </c>
      <c r="B21" s="2" t="n"/>
      <c r="C21" s="2" t="n"/>
      <c r="D21" s="2" t="n"/>
    </row>
  </sheetData>
  <mergeCells count="8">
    <mergeCell ref="A1:D1"/>
    <mergeCell ref="A9:D9"/>
    <mergeCell ref="A8:D8"/>
    <mergeCell ref="A4:D4"/>
    <mergeCell ref="A21:D21"/>
    <mergeCell ref="A7:D7"/>
    <mergeCell ref="A11:D1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6" customWidth="1" min="4" max="4"/>
    <col width="16" customWidth="1" min="5" max="5"/>
    <col width="14" customWidth="1" min="6" max="6"/>
    <col width="16" customWidth="1" min="7" max="7"/>
    <col width="19" customWidth="1" min="8" max="8"/>
    <col width="20" customWidth="1" min="9" max="9"/>
    <col width="20" customWidth="1" min="10" max="10"/>
    <col width="18" customWidth="1" min="11" max="11"/>
    <col width="18" customWidth="1" min="12" max="12"/>
    <col width="38" customWidth="1" min="13" max="13"/>
    <col width="30" customWidth="1" min="14" max="14"/>
    <col width="30" customWidth="1" min="15" max="15"/>
    <col width="18" customWidth="1" min="16" max="16"/>
  </cols>
  <sheetData>
    <row r="1" ht="42" customHeight="1">
      <c r="A1" s="4" t="inlineStr">
        <is>
          <t>Reviewer ID</t>
        </is>
      </c>
      <c r="B1" s="4" t="inlineStr">
        <is>
          <t>Date</t>
        </is>
      </c>
      <c r="C1" s="4" t="inlineStr">
        <is>
          <t>Role</t>
        </is>
      </c>
      <c r="D1" s="4" t="inlineStr">
        <is>
          <t>Found from → to</t>
        </is>
      </c>
      <c r="E1" s="4" t="inlineStr">
        <is>
          <t>Stated change</t>
        </is>
      </c>
      <c r="F1" s="4" t="inlineStr">
        <is>
          <t>Found Trace</t>
        </is>
      </c>
      <c r="G1" s="4" t="inlineStr">
        <is>
          <t>Triggered rule</t>
        </is>
      </c>
      <c r="H1" s="4" t="inlineStr">
        <is>
          <t>Suppressed candidate</t>
        </is>
      </c>
      <c r="I1" s="4" t="inlineStr">
        <is>
          <t>Understood arbitration</t>
        </is>
      </c>
      <c r="J1" s="4" t="inlineStr">
        <is>
          <t>Understood provenance</t>
        </is>
      </c>
      <c r="K1" s="4" t="inlineStr">
        <is>
          <t>Understood Outcome</t>
        </is>
      </c>
      <c r="L1" s="4" t="inlineStr">
        <is>
          <t>Understood not saved</t>
        </is>
      </c>
      <c r="M1" s="4" t="inlineStr">
        <is>
          <t>Confusions / observation</t>
        </is>
      </c>
      <c r="N1" s="4" t="inlineStr">
        <is>
          <t>Most useful element</t>
        </is>
      </c>
      <c r="O1" s="4" t="inlineStr">
        <is>
          <t>One requested change</t>
        </is>
      </c>
      <c r="P1" s="4" t="inlineStr">
        <is>
          <t>Keep / change / remove</t>
        </is>
      </c>
    </row>
    <row r="2">
      <c r="A2" s="5" t="n"/>
      <c r="B2" s="6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>
      <c r="A3" s="7" t="n"/>
      <c r="B3" s="8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5" t="n"/>
      <c r="B4" s="6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>
      <c r="A5" s="7" t="n"/>
      <c r="B5" s="8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5" t="n"/>
      <c r="B6" s="6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7" t="n"/>
      <c r="B7" s="8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5" t="n"/>
      <c r="B8" s="6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>
      <c r="A9" s="7" t="n"/>
      <c r="B9" s="8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5" t="n"/>
      <c r="B10" s="6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>
      <c r="A11" s="7" t="n"/>
      <c r="B11" s="8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5" t="n"/>
      <c r="B12" s="6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>
      <c r="A13" s="7" t="n"/>
      <c r="B13" s="8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5" t="n"/>
      <c r="B14" s="6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7" t="n"/>
      <c r="B15" s="8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5" t="n"/>
      <c r="B16" s="6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>
      <c r="A17" s="7" t="n"/>
      <c r="B17" s="8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5" t="n"/>
      <c r="B18" s="6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7" t="n"/>
      <c r="B19" s="8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5" t="n"/>
      <c r="B20" s="6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7" t="n"/>
      <c r="B21" s="8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</sheetData>
  <autoFilter ref="A1:P21"/>
  <conditionalFormatting sqref="D2:L21">
    <cfRule type="expression" priority="1" dxfId="0">
      <formula>D2="No"</formula>
    </cfRule>
  </conditionalFormatting>
  <dataValidations count="3">
    <dataValidation sqref="D2:L21" showDropDown="0" showInputMessage="0" showErrorMessage="0" allowBlank="1" type="list">
      <formula1>"Yes,Partly,No"</formula1>
    </dataValidation>
    <dataValidation sqref="C2:C21" showDropDown="0" showInputMessage="0" showErrorMessage="0" allowBlank="1" type="list">
      <formula1>"Athlete,Coach,Internal reviewer"</formula1>
    </dataValidation>
    <dataValidation sqref="P2:P21" showDropDown="0" showInputMessage="0" showErrorMessage="0" allowBlank="1" type="list">
      <formula1>"Keep,Change,Remove"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55" customWidth="1" min="3" max="3"/>
  </cols>
  <sheetData>
    <row r="1">
      <c r="A1" s="9" t="inlineStr">
        <is>
          <t>Phase 0.5 Review Summary</t>
        </is>
      </c>
      <c r="B1" s="7" t="n"/>
      <c r="C1" s="7" t="n"/>
    </row>
    <row r="2">
      <c r="A2" s="7" t="n"/>
      <c r="B2" s="7" t="n"/>
      <c r="C2" s="7" t="n"/>
    </row>
    <row r="3">
      <c r="A3" s="10" t="inlineStr">
        <is>
          <t>Metric</t>
        </is>
      </c>
      <c r="B3" s="10" t="inlineStr">
        <is>
          <t>Result</t>
        </is>
      </c>
      <c r="C3" s="10" t="inlineStr">
        <is>
          <t>Target / interpretation</t>
        </is>
      </c>
    </row>
    <row r="4">
      <c r="A4" s="7" t="inlineStr">
        <is>
          <t>Reviewers entered</t>
        </is>
      </c>
      <c r="B4" s="7">
        <f>COUNTA('Reviewer Findings'!A2:A21)</f>
        <v/>
      </c>
      <c r="C4" s="7" t="inlineStr">
        <is>
          <t>Target: 5</t>
        </is>
      </c>
    </row>
    <row r="5">
      <c r="A5" s="7" t="inlineStr">
        <is>
          <t>Found from → to</t>
        </is>
      </c>
      <c r="B5" s="7">
        <f>COUNTIF('Reviewer Findings'!D2:D21,"Yes")</f>
        <v/>
      </c>
      <c r="C5" s="7" t="inlineStr">
        <is>
          <t>Target: ≥4</t>
        </is>
      </c>
    </row>
    <row r="6">
      <c r="A6" s="7" t="inlineStr">
        <is>
          <t>Found Decision Trace</t>
        </is>
      </c>
      <c r="B6" s="7">
        <f>COUNTIF('Reviewer Findings'!F2:F21,"Yes")</f>
        <v/>
      </c>
      <c r="C6" s="7" t="inlineStr">
        <is>
          <t>Target: ≥4</t>
        </is>
      </c>
    </row>
    <row r="7">
      <c r="A7" s="7" t="inlineStr">
        <is>
          <t>Understood arbitration</t>
        </is>
      </c>
      <c r="B7" s="7">
        <f>COUNTIF('Reviewer Findings'!I2:I21,"Yes")</f>
        <v/>
      </c>
      <c r="C7" s="7" t="inlineStr">
        <is>
          <t>Target: ≥4</t>
        </is>
      </c>
    </row>
    <row r="8">
      <c r="A8" s="7" t="inlineStr">
        <is>
          <t>Understood provenance</t>
        </is>
      </c>
      <c r="B8" s="7">
        <f>COUNTIF('Reviewer Findings'!J2:J21,"Yes")</f>
        <v/>
      </c>
      <c r="C8" s="7" t="inlineStr">
        <is>
          <t>Target: ≥4</t>
        </is>
      </c>
    </row>
    <row r="9">
      <c r="A9" s="7" t="inlineStr">
        <is>
          <t>Understood not saved</t>
        </is>
      </c>
      <c r="B9" s="7">
        <f>COUNTIF('Reviewer Findings'!L2:L21,"Yes")</f>
        <v/>
      </c>
      <c r="C9" s="7" t="inlineStr">
        <is>
          <t>Must be ≥4; privacy confusion blocks release</t>
        </is>
      </c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11" t="inlineStr">
        <is>
          <t>Review status</t>
        </is>
      </c>
      <c r="B12" s="7">
        <f>IF(B4=0,"Not started",IF(AND(B5&gt;=4,B6&gt;=4,B7&gt;=4,B8&gt;=4,B9&gt;=4),"Passes comprehension bar","Needs review / revision"))</f>
        <v/>
      </c>
      <c r="C12" s="7" t="n"/>
    </row>
    <row r="13">
      <c r="A13" s="7" t="n"/>
      <c r="B13" s="7" t="n"/>
      <c r="C13" s="7" t="n"/>
    </row>
    <row r="14">
      <c r="A14" s="11" t="inlineStr">
        <is>
          <t>Important</t>
        </is>
      </c>
      <c r="B14" s="7" t="n"/>
      <c r="C14" s="7" t="n"/>
    </row>
    <row r="15">
      <c r="A15" s="7" t="inlineStr">
        <is>
          <t>This workbook records product comprehension only. It must not contain health data, account identifiers, OAuth tokens, or raw provider exports.</t>
        </is>
      </c>
      <c r="B15" s="7" t="n"/>
      <c r="C15" s="7" t="n"/>
    </row>
  </sheetData>
  <mergeCells count="2">
    <mergeCell ref="A1:C1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2026-08-12T05:58:19Z</dcterms:created>
  <dcterms:modified xmlns:dcterms="http://purl.org/dc/terms/" xmlns:xsi="http://www.w3.org/2001/XMLSchema-instance" xsi:type="dcterms:W3CDTF">2026-08-12T05:58:19Z</dcterms:modified>
</cp:coreProperties>
</file>