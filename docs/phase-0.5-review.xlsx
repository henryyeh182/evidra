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5600" windowHeight="15400" tabRatio="600" firstSheet="0" activeTab="1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審查紀錄" sheetId="2" state="visible" r:id="rId2"/>
    <sheet xmlns:r="http://schemas.openxmlformats.org/officeDocument/2006/relationships" name="摘要" sheetId="3" state="visible" r:id="rId3"/>
  </sheets>
  <definedNames>
    <definedName name="_xlnm._FilterDatabase" localSheetId="1" hidden="1">'審查紀錄'!$A$1:$P$21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Microsoft JhengHei"/>
      <charset val="136"/>
      <family val="2"/>
      <b val="1"/>
      <color rgb="FFFFFFFF"/>
      <sz val="14"/>
    </font>
    <font>
      <name val="Microsoft JhengHei"/>
      <charset val="136"/>
      <family val="2"/>
      <color theme="1"/>
      <sz val="14"/>
    </font>
    <font>
      <name val="Microsoft JhengHei"/>
      <charset val="136"/>
      <family val="2"/>
      <b val="1"/>
      <color rgb="FF157554"/>
      <sz val="14"/>
    </font>
    <font>
      <name val="Microsoft JhengHei"/>
      <charset val="136"/>
      <family val="2"/>
      <b val="1"/>
      <color rgb="FFFFFFFF"/>
      <sz val="12"/>
    </font>
    <font>
      <name val="新細明體"/>
      <family val="2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1F2A40"/>
      </patternFill>
    </fill>
    <fill>
      <patternFill patternType="solid">
        <fgColor rgb="FFFAF9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AD2C3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164" fontId="3" fillId="3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一般" xfId="0" builtinId="0"/>
  </cellStyles>
  <dxfs count="1">
    <dxf>
      <fill>
        <patternFill patternType="solid">
          <fgColor rgb="FFFC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Pacevera</author>
  </authors>
  <commentList>
    <comment ref="C16" authorId="0" shapeId="0">
      <text>
        <t>用白話詢問，不使用『抑制候選』或『仲裁』這類工程術語。</t>
      </text>
    </comment>
  </commentList>
</comments>
</file>

<file path=xl/comments/comment2.xml><?xml version="1.0" encoding="utf-8"?>
<comments xmlns="http://schemas.openxmlformats.org/spreadsheetml/2006/main">
  <authors>
    <author>Pacevera</author>
  </authors>
  <commentList>
    <comment ref="H1" authorId="0" shapeId="0">
      <text>
        <t>例如：原本的 Keep 方案沒有被採用，因為降低強度的規則優先。</t>
      </text>
    </comment>
    <comment ref="I1" authorId="0" shapeId="0">
      <text>
        <t>確認審查者知道：當規則衝突時，哪條規則優先並決定最後結果。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6" topLeftCell="A7" activePane="bottomLeft" state="frozen"/>
      <selection pane="bottomLeft" activeCell="C12" sqref="C12"/>
    </sheetView>
  </sheetViews>
  <sheetFormatPr baseColWidth="10" defaultColWidth="9" defaultRowHeight="14"/>
  <cols>
    <col width="30" customWidth="1" min="1" max="2"/>
    <col width="70" customWidth="1" min="3" max="3"/>
    <col width="18" customWidth="1" min="4" max="4"/>
  </cols>
  <sheetData>
    <row r="1" ht="30" customHeight="1">
      <c r="A1" s="9" t="inlineStr">
        <is>
          <t>Pacevera Phase 0.5 審查工作簿</t>
        </is>
      </c>
    </row>
    <row r="2" ht="21" customHeight="1">
      <c r="A2" s="10" t="n"/>
      <c r="B2" s="10" t="n"/>
      <c r="C2" s="10" t="n"/>
      <c r="D2" s="10" t="n"/>
    </row>
    <row r="3" ht="15" customHeight="1">
      <c r="A3" s="2" t="inlineStr">
        <is>
          <t>目的</t>
        </is>
      </c>
      <c r="B3" s="10" t="n"/>
      <c r="C3" s="10" t="n"/>
      <c r="D3" s="10" t="n"/>
    </row>
    <row r="4" ht="21" customHeight="1">
      <c r="A4" s="10" t="inlineStr">
        <is>
          <t>確認審查者是否能理解排定課表、Decision Graph，以及僅供原型使用的 Outcome 回報控制項。</t>
        </is>
      </c>
    </row>
    <row r="5" ht="21" customHeight="1">
      <c r="A5" s="10" t="n"/>
      <c r="B5" s="10" t="n"/>
      <c r="C5" s="10" t="n"/>
      <c r="D5" s="10" t="n"/>
    </row>
    <row r="6" ht="27" customHeight="1">
      <c r="A6" s="2" t="inlineStr">
        <is>
          <t>使用方式</t>
        </is>
      </c>
      <c r="B6" s="10" t="n"/>
      <c r="C6" s="10" t="n"/>
      <c r="D6" s="10" t="n"/>
    </row>
    <row r="7" ht="21" customHeight="1">
      <c r="A7" s="10" t="inlineStr">
        <is>
          <t>1. 開啟 docs/pacevera-home.html，不先解釋介面。</t>
        </is>
      </c>
    </row>
    <row r="8" ht="21" customHeight="1">
      <c r="A8" s="10" t="inlineStr">
        <is>
          <t>2. 請審查者完成下方三項任務。</t>
        </is>
      </c>
    </row>
    <row r="9" ht="21" customHeight="1">
      <c r="A9" s="10" t="inlineStr">
        <is>
          <t>3. 在「審查紀錄」工作表中，每位審查者填寫一列。</t>
        </is>
      </c>
    </row>
    <row r="10" ht="21" customHeight="1">
      <c r="A10" s="10" t="inlineStr">
        <is>
          <t>4. 不要記錄姓名、電子郵件、provider token 或真實健康資料。</t>
        </is>
      </c>
    </row>
    <row r="11" ht="21" customHeight="1">
      <c r="A11" s="10" t="inlineStr">
        <is>
          <t>5. 使用「摘要」工作表檢查 4/5 成功門檻。</t>
        </is>
      </c>
    </row>
    <row r="12" ht="21" customHeight="1">
      <c r="A12" s="10" t="n"/>
      <c r="B12" s="10" t="n"/>
      <c r="C12" s="10" t="n"/>
      <c r="D12" s="10" t="n"/>
    </row>
    <row r="13" ht="21" customHeight="1">
      <c r="A13" s="10" t="n"/>
      <c r="B13" s="10" t="n"/>
      <c r="C13" s="10" t="n"/>
      <c r="D13" s="10" t="n"/>
    </row>
    <row r="14" ht="23" customHeight="1">
      <c r="A14" s="2" t="inlineStr">
        <is>
          <t>審查任務</t>
        </is>
      </c>
      <c r="B14" s="10" t="n"/>
      <c r="C14" s="10" t="n"/>
      <c r="D14" s="10" t="n"/>
    </row>
    <row r="15" ht="24" customHeight="1">
      <c r="A15" s="10" t="inlineStr">
        <is>
          <t>A</t>
        </is>
      </c>
      <c r="B15" s="10" t="inlineStr">
        <is>
          <t>決策理解</t>
        </is>
      </c>
      <c r="C15" s="10" t="inlineStr">
        <is>
          <t>原本排定什麼？今天應該做什麼？</t>
        </is>
      </c>
      <c r="D15" s="10" t="n"/>
    </row>
    <row r="16" ht="24" customHeight="1">
      <c r="A16" s="10" t="inlineStr">
        <is>
          <t>B</t>
        </is>
      </c>
      <c r="B16" s="10" t="inlineStr">
        <is>
          <t>Decision Trace 理解</t>
        </is>
      </c>
      <c r="C16" s="10" t="inlineStr">
        <is>
          <t>為什麼改變？哪個方案沒有採用？哪條規則優先？</t>
        </is>
      </c>
      <c r="D16" s="10" t="n"/>
    </row>
    <row r="17" ht="24" customHeight="1">
      <c r="A17" s="10" t="inlineStr">
        <is>
          <t>C</t>
        </is>
      </c>
      <c r="B17" s="10" t="inlineStr">
        <is>
          <t>Outcome 理解</t>
        </is>
      </c>
      <c r="C17" s="10" t="inlineStr">
        <is>
          <t>你會如何回報 Adopted、Changed、Skipped 與主觀感受強度？</t>
        </is>
      </c>
      <c r="D17" s="10" t="n"/>
    </row>
    <row r="18" ht="21" customHeight="1">
      <c r="A18" s="10" t="n"/>
      <c r="B18" s="10" t="n"/>
      <c r="C18" s="10" t="n"/>
      <c r="D18" s="10" t="n"/>
    </row>
    <row r="19" ht="21" customHeight="1">
      <c r="A19" s="10" t="n"/>
      <c r="B19" s="10" t="n"/>
      <c r="C19" s="10" t="n"/>
      <c r="D19" s="10" t="n"/>
    </row>
    <row r="20" ht="15" customHeight="1">
      <c r="A20" s="2" t="inlineStr">
        <is>
          <t>成功門檻</t>
        </is>
      </c>
      <c r="B20" s="10" t="n"/>
      <c r="C20" s="10" t="n"/>
      <c r="D20" s="10" t="n"/>
    </row>
    <row r="21" ht="21" customHeight="1">
      <c r="A21" s="10" t="inlineStr">
        <is>
          <t>至少 5 位審查者中的 4 位，應能在沒有提示下完成核心任務。任何隱私理解錯誤都會阻擋發布。</t>
        </is>
      </c>
    </row>
  </sheetData>
  <mergeCells count="8">
    <mergeCell ref="A1:D1"/>
    <mergeCell ref="A9:D9"/>
    <mergeCell ref="A8:D8"/>
    <mergeCell ref="A4:D4"/>
    <mergeCell ref="A21:D21"/>
    <mergeCell ref="A7:D7"/>
    <mergeCell ref="A11:D11"/>
    <mergeCell ref="A10:D10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tabSelected="1" workbookViewId="0">
      <pane ySplit="1" topLeftCell="A2" activePane="bottomLeft" state="frozen"/>
      <selection pane="bottomLeft" activeCell="Q6" sqref="Q6"/>
    </sheetView>
  </sheetViews>
  <sheetFormatPr baseColWidth="10" defaultColWidth="9" defaultRowHeight="14"/>
  <cols>
    <col width="15" customWidth="1" min="1" max="1"/>
    <col width="14" customWidth="1" min="2" max="2"/>
    <col width="18" customWidth="1" min="3" max="3"/>
    <col width="19.3984375" customWidth="1" min="4" max="4"/>
    <col width="16" customWidth="1" min="5" max="7"/>
    <col width="19.3984375" customWidth="1" min="8" max="8"/>
    <col width="20" customWidth="1" min="9" max="10"/>
    <col width="18" customWidth="1" min="11" max="12"/>
    <col width="38" customWidth="1" min="13" max="13"/>
    <col width="30" customWidth="1" min="14" max="15"/>
    <col width="30.796875" customWidth="1" min="16" max="16"/>
  </cols>
  <sheetData>
    <row r="1" ht="42" customFormat="1" customHeight="1" s="14">
      <c r="A1" s="13" t="inlineStr">
        <is>
          <t>審查者 ID</t>
        </is>
      </c>
      <c r="B1" s="13" t="inlineStr">
        <is>
          <t>日期</t>
        </is>
      </c>
      <c r="C1" s="13" t="inlineStr">
        <is>
          <t>角色</t>
        </is>
      </c>
      <c r="D1" s="13" t="inlineStr">
        <is>
          <t>找到 from → to</t>
        </is>
      </c>
      <c r="E1" s="13" t="inlineStr">
        <is>
          <t>說出變更</t>
        </is>
      </c>
      <c r="F1" s="13" t="inlineStr">
        <is>
          <t>找到 Trace</t>
        </is>
      </c>
      <c r="G1" s="13" t="inlineStr">
        <is>
          <t>理解觸發規則</t>
        </is>
      </c>
      <c r="H1" s="13" t="inlineStr">
        <is>
          <t>理解未採用的其他方案</t>
        </is>
      </c>
      <c r="I1" s="13" t="inlineStr">
        <is>
          <t>理解哪條規則優先</t>
        </is>
      </c>
      <c r="J1" s="13" t="inlineStr">
        <is>
          <t>理解來源追溯</t>
        </is>
      </c>
      <c r="K1" s="13" t="inlineStr">
        <is>
          <t>理解 Outcome</t>
        </is>
      </c>
      <c r="L1" s="13" t="inlineStr">
        <is>
          <t>理解未儲存</t>
        </is>
      </c>
      <c r="M1" s="13" t="inlineStr">
        <is>
          <t>困惑／觀察</t>
        </is>
      </c>
      <c r="N1" s="13" t="inlineStr">
        <is>
          <t>最有用的元素</t>
        </is>
      </c>
      <c r="O1" s="13" t="inlineStr">
        <is>
          <t>一項建議變更</t>
        </is>
      </c>
      <c r="P1" s="13" t="inlineStr">
        <is>
          <t>保留／修改／移除</t>
        </is>
      </c>
    </row>
    <row r="2" ht="21" customHeight="1">
      <c r="A2" s="4" t="n"/>
      <c r="B2" s="15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 ht="21" customHeight="1">
      <c r="A3" s="12" t="n"/>
      <c r="B3" s="16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 ht="21" customHeight="1">
      <c r="A4" s="4" t="n"/>
      <c r="B4" s="15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1" customHeight="1">
      <c r="A5" s="12" t="n"/>
      <c r="B5" s="16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 ht="21" customHeight="1">
      <c r="A6" s="4" t="n"/>
      <c r="B6" s="15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21" customHeight="1">
      <c r="A7" s="12" t="n"/>
      <c r="B7" s="16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 ht="21" customHeight="1">
      <c r="A8" s="4" t="n"/>
      <c r="B8" s="15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  <row r="9" ht="21" customHeight="1">
      <c r="A9" s="12" t="n"/>
      <c r="B9" s="16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</row>
    <row r="10" ht="21" customHeight="1">
      <c r="A10" s="4" t="n"/>
      <c r="B10" s="15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 ht="21" customHeight="1">
      <c r="A11" s="12" t="n"/>
      <c r="B11" s="16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</row>
    <row r="12" ht="21" customHeight="1">
      <c r="A12" s="4" t="n"/>
      <c r="B12" s="15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 ht="21" customHeight="1">
      <c r="A13" s="12" t="n"/>
      <c r="B13" s="16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</row>
    <row r="14" ht="21" customHeight="1">
      <c r="A14" s="4" t="n"/>
      <c r="B14" s="15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</row>
    <row r="15" ht="21" customHeight="1">
      <c r="A15" s="12" t="n"/>
      <c r="B15" s="16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</row>
    <row r="16" ht="21" customHeight="1">
      <c r="A16" s="4" t="n"/>
      <c r="B16" s="15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 ht="21" customHeight="1">
      <c r="A17" s="12" t="n"/>
      <c r="B17" s="16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</row>
    <row r="18" ht="21" customHeight="1">
      <c r="A18" s="4" t="n"/>
      <c r="B18" s="15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 ht="21" customHeight="1">
      <c r="A19" s="12" t="n"/>
      <c r="B19" s="16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</row>
    <row r="20" ht="21" customHeight="1">
      <c r="A20" s="4" t="n"/>
      <c r="B20" s="15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</row>
    <row r="21" ht="21" customHeight="1">
      <c r="A21" s="12" t="n"/>
      <c r="B21" s="16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</row>
  </sheetData>
  <autoFilter ref="A1:P21"/>
  <conditionalFormatting sqref="D2:L21">
    <cfRule type="expression" priority="1" dxfId="0">
      <formula>D2="No"</formula>
    </cfRule>
  </conditionalFormatting>
  <dataValidations count="3">
    <dataValidation sqref="D2:L21" showDropDown="0" showInputMessage="0" showErrorMessage="0" allowBlank="1" type="list">
      <formula1>"是,部分,否"</formula1>
    </dataValidation>
    <dataValidation sqref="C2:C21" showDropDown="0" showInputMessage="0" showErrorMessage="0" allowBlank="1" type="list">
      <formula1>"運動員,教練,內部審查者"</formula1>
    </dataValidation>
    <dataValidation sqref="P2:P21" showDropDown="0" showInputMessage="0" showErrorMessage="0" allowBlank="1" type="list">
      <formula1>"保留,修改,移除"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H9" sqref="H9"/>
    </sheetView>
  </sheetViews>
  <sheetFormatPr baseColWidth="10" defaultColWidth="9" defaultRowHeight="14"/>
  <cols>
    <col width="32" customWidth="1" min="1" max="1"/>
    <col width="30.59765625" customWidth="1" min="2" max="2"/>
    <col width="63" customWidth="1" min="3" max="3"/>
  </cols>
  <sheetData>
    <row r="1" ht="38" customHeight="1">
      <c r="A1" s="11" t="inlineStr">
        <is>
          <t>Phase 0.5 Review Summary</t>
        </is>
      </c>
      <c r="B1" s="17" t="n"/>
      <c r="C1" s="17" t="n"/>
    </row>
    <row r="2" ht="21" customHeight="1">
      <c r="A2" s="12" t="n"/>
      <c r="B2" s="12" t="n"/>
      <c r="C2" s="12" t="n"/>
    </row>
    <row r="3" ht="39" customHeight="1">
      <c r="A3" s="11" t="inlineStr">
        <is>
          <t>指標</t>
        </is>
      </c>
      <c r="B3" s="11" t="inlineStr">
        <is>
          <t>結果</t>
        </is>
      </c>
      <c r="C3" s="11" t="inlineStr">
        <is>
          <t>目標／解讀</t>
        </is>
      </c>
    </row>
    <row r="4" ht="39" customHeight="1">
      <c r="A4" s="12" t="inlineStr">
        <is>
          <t>已填寫審查者數</t>
        </is>
      </c>
      <c r="B4" s="12">
        <f>COUNTA(審查紀錄!A2:A21)</f>
        <v/>
      </c>
      <c r="C4" s="12" t="inlineStr">
        <is>
          <t>目標：5</t>
        </is>
      </c>
    </row>
    <row r="5" ht="39" customHeight="1">
      <c r="A5" s="12" t="inlineStr">
        <is>
          <t>找到 from → to</t>
        </is>
      </c>
      <c r="B5" s="12">
        <f>COUNTIF(審查紀錄!D2:D21,"是")</f>
        <v/>
      </c>
      <c r="C5" s="12" t="inlineStr">
        <is>
          <t>目標：≥4</t>
        </is>
      </c>
    </row>
    <row r="6" ht="39" customHeight="1">
      <c r="A6" s="12" t="inlineStr">
        <is>
          <t>找到 Decision Trace</t>
        </is>
      </c>
      <c r="B6" s="12">
        <f>COUNTIF(審查紀錄!F2:F21,"是")</f>
        <v/>
      </c>
      <c r="C6" s="12" t="inlineStr">
        <is>
          <t>目標：≥4</t>
        </is>
      </c>
    </row>
    <row r="7" ht="39" customHeight="1">
      <c r="A7" s="12" t="inlineStr">
        <is>
          <t>理解仲裁</t>
        </is>
      </c>
      <c r="B7" s="12">
        <f>COUNTIF(審查紀錄!I2:I21,"是")</f>
        <v/>
      </c>
      <c r="C7" s="12" t="inlineStr">
        <is>
          <t>目標：≥4</t>
        </is>
      </c>
    </row>
    <row r="8" ht="39" customHeight="1">
      <c r="A8" s="12" t="inlineStr">
        <is>
          <t>理解來源追溯</t>
        </is>
      </c>
      <c r="B8" s="12">
        <f>COUNTIF(審查紀錄!J2:J21,"是")</f>
        <v/>
      </c>
      <c r="C8" s="12" t="inlineStr">
        <is>
          <t>目標：≥4</t>
        </is>
      </c>
    </row>
    <row r="9" ht="39" customHeight="1">
      <c r="A9" s="12" t="inlineStr">
        <is>
          <t>理解未儲存</t>
        </is>
      </c>
      <c r="B9" s="12">
        <f>COUNTIF(審查紀錄!L2:L21,"是")</f>
        <v/>
      </c>
      <c r="C9" s="12" t="inlineStr">
        <is>
          <t>必須 ≥4；隱私理解錯誤會阻擋發布</t>
        </is>
      </c>
    </row>
    <row r="10" ht="21" customHeight="1">
      <c r="A10" s="12" t="n"/>
      <c r="B10" s="12" t="n"/>
      <c r="C10" s="12" t="n"/>
    </row>
    <row r="11" ht="21" customHeight="1">
      <c r="A11" s="12" t="n"/>
      <c r="B11" s="12" t="n"/>
      <c r="C11" s="12" t="n"/>
    </row>
    <row r="12" ht="31" customHeight="1">
      <c r="A12" s="8" t="inlineStr">
        <is>
          <t>審查狀態</t>
        </is>
      </c>
      <c r="B12" s="12">
        <f>IF(B4=0,"尚未開始",IF(AND(B5&gt;=4,B6&gt;=4,B7&gt;=4,B8&gt;=4,B9&gt;=4),"通過理解門檻","需要審查／修訂"))</f>
        <v/>
      </c>
      <c r="C12" s="12" t="n"/>
    </row>
    <row r="13" ht="31" customHeight="1">
      <c r="A13" s="12" t="n"/>
      <c r="B13" s="12" t="n"/>
      <c r="C13" s="12" t="n"/>
    </row>
    <row r="14" ht="31" customHeight="1">
      <c r="A14" s="8" t="inlineStr">
        <is>
          <t>重要提醒</t>
        </is>
      </c>
      <c r="B14" s="12" t="n"/>
      <c r="C14" s="12" t="n"/>
    </row>
    <row r="15" ht="48" customHeight="1">
      <c r="A15" s="12" t="inlineStr">
        <is>
          <t>本工作簿只記錄產品理解程度，不得包含健康資料、帳號識別資訊、OAuth token 或 provider 原始匯出檔。</t>
        </is>
      </c>
      <c r="B15" s="17" t="n"/>
      <c r="C15" s="17" t="n"/>
    </row>
  </sheetData>
  <mergeCells count="2">
    <mergeCell ref="A1:C1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2026-08-12T05:58:19Z</dcterms:created>
  <dcterms:modified xmlns:dcterms="http://purl.org/dc/terms/" xmlns:xsi="http://www.w3.org/2001/XMLSchema-instance" xsi:type="dcterms:W3CDTF">2026-08-12T06:41:49Z</dcterms:modified>
  <cp:lastModifiedBy>Microsoft Office User</cp:lastModifiedBy>
</cp:coreProperties>
</file>